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6 - MAYO 24 TERCER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A3" i="4"/>
  <c r="B3" i="4"/>
  <c r="C3" i="4"/>
  <c r="D3" i="4"/>
  <c r="E3" i="4"/>
  <c r="F3" i="4"/>
  <c r="G3" i="4"/>
  <c r="G4" i="4" l="1"/>
  <c r="H2" i="4"/>
  <c r="H4" i="4" s="1"/>
  <c r="H3" i="4"/>
  <c r="I2" i="4" l="1"/>
  <c r="I3" i="4"/>
  <c r="I4" i="4" l="1"/>
  <c r="J2" i="4"/>
  <c r="J3" i="4"/>
  <c r="J4" i="4" l="1"/>
  <c r="K2" i="4"/>
  <c r="K3" i="4"/>
  <c r="L2" i="4" l="1"/>
  <c r="L3" i="4"/>
  <c r="M2" i="4" l="1"/>
  <c r="M3" i="4"/>
  <c r="M4" i="4" l="1"/>
  <c r="N2" i="4"/>
  <c r="N3" i="4"/>
  <c r="O2" i="4" l="1"/>
  <c r="O3" i="4"/>
  <c r="P2" i="4" l="1"/>
  <c r="P3" i="4"/>
</calcChain>
</file>

<file path=xl/sharedStrings.xml><?xml version="1.0" encoding="utf-8"?>
<sst xmlns="http://schemas.openxmlformats.org/spreadsheetml/2006/main" count="43" uniqueCount="28">
  <si>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</si>
  <si>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</si>
  <si>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</si>
  <si>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</si>
  <si>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</si>
  <si>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</si>
  <si>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</si>
  <si>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</si>
  <si>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</si>
  <si>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</si>
  <si>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</si>
  <si>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</si>
  <si>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</si>
  <si>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</si>
  <si>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</si>
  <si>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</si>
  <si>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</si>
  <si>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</si>
  <si>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</si>
  <si>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</si>
  <si>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</si>
  <si>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</si>
  <si>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</si>
  <si>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</si>
  <si>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</si>
  <si>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</si>
  <si>
    <t>MALAGA ZUSANA ELIZABETH  2601776838586074873899086506009800000000906108000000083783930000000928450100000001508111D000000000000000000000777639022092227260177686M00000000000000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</si>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</sst>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x14ac:dyDescent="0.25">
      <c r="A3" s="5" t="str">
        <f>MID(Q3,Hoja2!$D$2,Hoja2!$F$2)</f>
        <v xml:space="preserve">MALAGA ZUSANA ELIZABETH  </v>
      </c>
      <c r="B3" s="5" t="str">
        <f>MID(Q3,Hoja2!$D$3,Hoja2!$B$3)</f>
        <v>26017768</v>
      </c>
      <c r="C3" s="5" t="str">
        <f>MID(Q3,Hoja2!$D$4,Hoja2!$B$4)</f>
        <v>38586</v>
      </c>
      <c r="D3" s="5" t="str">
        <f>MID(Q3,Hoja2!$D$5,Hoja2!$B$5)</f>
        <v>07487</v>
      </c>
      <c r="E3" s="5" t="str">
        <f>MID(Q3,Hoja2!$D$6,Hoja2!$B$6)</f>
        <v>38990865</v>
      </c>
      <c r="F3" s="5" t="str">
        <f>MID(Q3,Hoja2!$D$7,Hoja2!$B$7)</f>
        <v>060098</v>
      </c>
      <c r="G3" s="5">
        <f>MID(Q3,Hoja2!$D$8,Hoja2!$B$8)/100</f>
        <v>9061.08</v>
      </c>
      <c r="H3" s="5">
        <f>MID(Q3,Hoja2!$D$9,Hoja2!$B$9)/100</f>
        <v>83783.929999999993</v>
      </c>
      <c r="I3" s="5">
        <f>MID(Q3,Hoja2!$D$10,Hoja2!$B$10)/100</f>
        <v>92845.01</v>
      </c>
      <c r="J3" s="5">
        <f>MID(Q3,Hoja2!$D$11,Hoja2!$B$11)/100</f>
        <v>15081.11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77763.899999999994</v>
      </c>
      <c r="N3" s="5" t="str">
        <f>MID(Q3,Hoja2!$D$15,Hoja2!$B$15)</f>
        <v>220922</v>
      </c>
      <c r="O3" s="5" t="str">
        <f>MID(Q3,Hoja2!$D$16,Hoja2!$B$16)</f>
        <v>27260177686</v>
      </c>
      <c r="P3" s="5" t="str">
        <f>MID(Q3,Hoja2!$D$17,Hoja2!$B$17)</f>
        <v>M</v>
      </c>
      <c r="Q3" t="s">
        <v>26</v>
      </c>
    </row>
    <row r="4" spans="1:17" ht="15.75" x14ac:dyDescent="0.25">
      <c r="G4" s="7">
        <f>SUM(G2:G3)</f>
        <v>20720.379999999997</v>
      </c>
      <c r="H4" s="7">
        <f>SUM(H2:H3)</f>
        <v>205625.86</v>
      </c>
      <c r="I4" s="7">
        <f>SUM(I2:I3)</f>
        <v>226346.23999999999</v>
      </c>
      <c r="J4" s="7">
        <f>SUM(J2:J3)</f>
        <v>38231.08</v>
      </c>
      <c r="K4" s="8"/>
      <c r="L4" s="8"/>
      <c r="M4" s="7">
        <f>SUM(M2:M3)</f>
        <v>188115.15999999997</v>
      </c>
    </row>
    <row r="23" spans="7:7" x14ac:dyDescent="0.25">
      <c r="G23" t="s">
        <v>27</v>
      </c>
    </row>
  </sheetData>
  <autoFilter ref="B1:B2"/>
  <conditionalFormatting sqref="E344:E1048576 E1:E2 E4:E342">
    <cfRule type="duplicateValues" dxfId="1" priority="5"/>
  </conditionalFormatting>
  <conditionalFormatting sqref="E3"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2025-02-27T20:47:27Z</dcterms:modified>
</cp:coreProperties>
</file>