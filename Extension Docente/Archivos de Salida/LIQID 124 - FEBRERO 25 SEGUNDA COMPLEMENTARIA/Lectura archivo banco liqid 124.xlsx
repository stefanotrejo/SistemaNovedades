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24 - FEBRERO 25 SEGUNDA COMPLEMENTARIA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4" l="1"/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G3" i="4" s="1"/>
  <c r="B2" i="4" l="1"/>
  <c r="C2" i="4"/>
  <c r="D2" i="4"/>
  <c r="E2" i="4"/>
  <c r="F2" i="4"/>
  <c r="H2" i="4" l="1"/>
  <c r="H3" i="4" s="1"/>
  <c r="I2" i="4" l="1"/>
  <c r="I3" i="4" s="1"/>
  <c r="J2" i="4" l="1"/>
  <c r="J3" i="4" s="1"/>
  <c r="K2" i="4" l="1"/>
  <c r="L2" i="4" l="1"/>
  <c r="M2" i="4" l="1"/>
  <c r="M3" i="4" s="1"/>
  <c r="N2" i="4" l="1"/>
  <c r="O2" i="4" l="1"/>
  <c r="P2" i="4" l="1"/>
</calcChain>
</file>

<file path=xl/sharedStrings.xml><?xml version="1.0" encoding="utf-8"?>
<sst xmlns="http://schemas.openxmlformats.org/spreadsheetml/2006/main" count="41" uniqueCount="26">
  <si>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</si>
  <si>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</si>
  <si>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</si>
  <si>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</si>
  <si>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</si>
  <si>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</si>
  <si>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</si>
  <si>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</si>
  <si>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</si>
  <si>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</si>
  <si>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</si>
  <si>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</si>
  <si>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</si>
  <si>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</si>
  <si>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</si>
  <si>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</si>
  <si>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</si>
  <si>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</si>
  <si>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</si>
  <si>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</si>
  <si>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</si>
  <si>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</si>
  <si>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</si>
  <si>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</si>
  <si>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</si>
  <si>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LOPEZ ROXANA BEATRIZ     2015215438176013553826688406009800000002447336000000241049540000002655229000000004338892D000000000000000000002221339803128827201521543M00000000000000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</si>
</sst>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topLeftCell="H1" workbookViewId="0">
      <pane ySplit="1" topLeftCell="A2" activePane="bottomLeft" state="frozen"/>
      <selection pane="bottomLeft" activeCell="Q2" sqref="Q2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LOPEZ ROXANA BEATRIZ     </v>
      </c>
      <c r="B2" s="5" t="str">
        <f>MID(Q2,Hoja2!$D$3,Hoja2!$B$3)</f>
        <v>20152154</v>
      </c>
      <c r="C2" s="5" t="str">
        <f>MID(Q2,Hoja2!$D$4,Hoja2!$B$4)</f>
        <v>38176</v>
      </c>
      <c r="D2" s="5" t="str">
        <f>MID(Q2,Hoja2!$D$5,Hoja2!$B$5)</f>
        <v>01355</v>
      </c>
      <c r="E2" s="5" t="str">
        <f>MID(Q2,Hoja2!$D$6,Hoja2!$B$6)</f>
        <v>38266884</v>
      </c>
      <c r="F2" s="5" t="str">
        <f>MID(Q2,Hoja2!$D$7,Hoja2!$B$7)</f>
        <v>060098</v>
      </c>
      <c r="G2" s="5">
        <f>MID(Q2,Hoja2!$D$8,Hoja2!$B$8)/100</f>
        <v>24473.360000000001</v>
      </c>
      <c r="H2" s="5">
        <f>MID(Q2,Hoja2!$D$9,Hoja2!$B$9)/100</f>
        <v>241049.54</v>
      </c>
      <c r="I2" s="5">
        <f>MID(Q2,Hoja2!$D$10,Hoja2!$B$10)/100</f>
        <v>265522.90000000002</v>
      </c>
      <c r="J2" s="5">
        <f>MID(Q2,Hoja2!$D$11,Hoja2!$B$11)/100</f>
        <v>43388.92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222133.98</v>
      </c>
      <c r="N2" s="5" t="str">
        <f>MID(Q2,Hoja2!$D$15,Hoja2!$B$15)</f>
        <v>031288</v>
      </c>
      <c r="O2" s="5" t="str">
        <f>MID(Q2,Hoja2!$D$16,Hoja2!$B$16)</f>
        <v>27201521543</v>
      </c>
      <c r="P2" s="5" t="str">
        <f>MID(Q2,Hoja2!$D$17,Hoja2!$B$17)</f>
        <v>M</v>
      </c>
      <c r="Q2" s="10" t="s">
        <v>25</v>
      </c>
    </row>
    <row r="3" spans="1:17" ht="15.75" x14ac:dyDescent="0.25">
      <c r="G3" s="7">
        <f>SUM(G2:G2)</f>
        <v>24473.360000000001</v>
      </c>
      <c r="H3" s="7">
        <f>SUM(H2:H2)</f>
        <v>241049.54</v>
      </c>
      <c r="I3" s="7">
        <f>SUM(I2:I2)</f>
        <v>265522.90000000002</v>
      </c>
      <c r="J3" s="7">
        <f>SUM(J2:J2)</f>
        <v>43388.92</v>
      </c>
      <c r="K3" s="8"/>
      <c r="L3" s="8"/>
      <c r="M3" s="7">
        <f>SUM(M2:M2)</f>
        <v>222133.98</v>
      </c>
    </row>
  </sheetData>
  <autoFilter ref="B1:B2"/>
  <conditionalFormatting sqref="E27:E1048576 E1:E25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2025-08-25T21:54:36Z</dcterms:modified>
</cp:coreProperties>
</file>