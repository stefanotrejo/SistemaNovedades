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5 - MARZ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<sst xmlns="http://schemas.openxmlformats.org/spreadsheetml/2006/main" count="46" uniqueCount="26">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</sst>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4" zoomScale="130" zoomScaleNormal="130" workbookViewId="0">
      <selection activeCell="F20" sqref="F20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6.4257812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1385479200.8299999</v>
      </c>
      <c r="C2" s="9">
        <v>191707309.11000001</v>
      </c>
      <c r="D2" s="9">
        <v>149600626.59999999</v>
      </c>
      <c r="E2" s="9">
        <v>341307935.70999998</v>
      </c>
      <c r="F2" s="9">
        <v>78245936.469999999</v>
      </c>
      <c r="G2" s="9">
        <v>88259957.269999996</v>
      </c>
      <c r="H2" s="9">
        <v>166505893.74000001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1109649103.78</v>
      </c>
      <c r="C3" s="9">
        <v>153998857.44</v>
      </c>
      <c r="D3" s="9">
        <v>120152574.28</v>
      </c>
      <c r="E3" s="9">
        <v>274151431.72000003</v>
      </c>
      <c r="F3" s="9">
        <v>63202545.509999998</v>
      </c>
      <c r="G3" s="9">
        <v>70886475.379999995</v>
      </c>
      <c r="H3" s="9">
        <v>134089020.89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275830097.05000001</v>
      </c>
      <c r="C4" s="9">
        <v>37708451.670000002</v>
      </c>
      <c r="D4" s="9">
        <v>29448052.32</v>
      </c>
      <c r="E4" s="9">
        <v>67156503.989999995</v>
      </c>
      <c r="F4" s="9">
        <v>15043390.960000001</v>
      </c>
      <c r="G4" s="9">
        <v>17373481.890000001</v>
      </c>
      <c r="H4" s="9">
        <v>32416872.850000001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1385479200.8299999</v>
      </c>
      <c r="H10" s="9" t="s">
        <v>1</v>
      </c>
      <c r="I10" s="15">
        <f>B3</f>
        <v>1109649103.78</v>
      </c>
      <c r="K10" s="9" t="s">
        <v>1</v>
      </c>
      <c r="L10" s="15">
        <f>B4</f>
        <v>275830097.05000001</v>
      </c>
    </row>
    <row r="11" spans="1:12" ht="15.75" x14ac:dyDescent="0.25">
      <c r="B11" s="1">
        <f>F10+F13+F16+F19</f>
        <v>1655449576.3200002</v>
      </c>
      <c r="C11" s="4">
        <v>1655449576.3199999</v>
      </c>
      <c r="E11" s="9" t="s">
        <v>0</v>
      </c>
      <c r="F11" s="18">
        <f>E2</f>
        <v>341307935.70999998</v>
      </c>
      <c r="H11" s="9" t="s">
        <v>0</v>
      </c>
      <c r="I11" s="14">
        <f>E3</f>
        <v>274151431.72000003</v>
      </c>
      <c r="K11" s="9" t="s">
        <v>0</v>
      </c>
      <c r="L11" s="14">
        <f>E4</f>
        <v>67156503.989999995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149600626.59999999</v>
      </c>
      <c r="H12" s="9" t="s">
        <v>2</v>
      </c>
      <c r="I12" s="14">
        <f>H3</f>
        <v>134089020.89</v>
      </c>
      <c r="K12" s="9" t="s">
        <v>2</v>
      </c>
      <c r="L12" s="14">
        <f>H4</f>
        <v>32416872.850000001</v>
      </c>
    </row>
    <row r="13" spans="1:12" x14ac:dyDescent="0.25">
      <c r="E13" s="9" t="s">
        <v>7</v>
      </c>
      <c r="F13" s="18">
        <f>C2</f>
        <v>191707309.11000001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166505893.74000001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88259957.269999996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78245936.469999999</v>
      </c>
      <c r="I16" s="2"/>
      <c r="J16" s="6">
        <f>I10+I11+I12+I13+L10+L11+L12+L13</f>
        <v>1893321580.1299999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1893321580.1299999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1109649103.78</v>
      </c>
      <c r="I23" s="1"/>
    </row>
    <row r="24" spans="2:12" ht="15.75" x14ac:dyDescent="0.25">
      <c r="B24" s="1">
        <f>F10</f>
        <v>1385479200.8299999</v>
      </c>
      <c r="C24" s="4">
        <v>1385479200.8299999</v>
      </c>
      <c r="F24" s="1">
        <f>L10</f>
        <v>275830097.05000001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274151431.72000003</v>
      </c>
      <c r="I25" s="1"/>
    </row>
    <row r="26" spans="2:12" x14ac:dyDescent="0.25">
      <c r="F26" s="1">
        <f>L11</f>
        <v>67156503.989999995</v>
      </c>
      <c r="I26" s="1"/>
    </row>
    <row r="27" spans="2:12" x14ac:dyDescent="0.25">
      <c r="F27" s="1">
        <f>I12+I13</f>
        <v>134117570.73999999</v>
      </c>
      <c r="H27" t="s">
        <v>9</v>
      </c>
      <c r="I27" s="1"/>
    </row>
    <row r="28" spans="2:12" x14ac:dyDescent="0.25">
      <c r="F28" s="1">
        <f>L12+L13</f>
        <v>32416872.850000001</v>
      </c>
      <c r="H28" s="1">
        <f>SUM(F23:F26)</f>
        <v>1726787136.54</v>
      </c>
      <c r="I28" s="1"/>
    </row>
    <row r="29" spans="2:12" ht="15.75" x14ac:dyDescent="0.25">
      <c r="F29" s="5">
        <f>SUM(F23:F28)</f>
        <v>1893321580.1299999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2025-04-29T21:47:15Z</dcterms:modified>
</cp:coreProperties>
</file>