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93 - FEBRERO 24 TERCERA COMPLEMENTARIA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6" i="4" l="1"/>
  <c r="H6" i="4"/>
  <c r="I6" i="4"/>
  <c r="J6" i="4"/>
  <c r="M6" i="4"/>
  <c r="G2" i="4" l="1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D3" i="2"/>
  <c r="D4" i="2" s="1"/>
  <c r="D5" i="2" s="1"/>
  <c r="D6" i="2" s="1"/>
  <c r="D7" i="2" s="1"/>
  <c r="D8" i="2" s="1"/>
  <c r="F2" i="2"/>
  <c r="D9" i="2" l="1"/>
  <c r="D10" i="2" s="1"/>
  <c r="D11" i="2" s="1"/>
  <c r="D12" i="2" s="1"/>
  <c r="D13" i="2" s="1"/>
  <c r="D14" i="2" s="1"/>
  <c r="D15" i="2" s="1"/>
  <c r="D16" i="2" s="1"/>
  <c r="D17" i="2" s="1"/>
  <c r="A4" i="4" l="1"/>
  <c r="B4" i="4"/>
  <c r="C4" i="4"/>
  <c r="D4" i="4"/>
  <c r="E4" i="4"/>
  <c r="F4" i="4"/>
  <c r="G4" i="4"/>
  <c r="A5" i="4"/>
  <c r="B5" i="4"/>
  <c r="C5" i="4"/>
  <c r="D5" i="4"/>
  <c r="E5" i="4"/>
  <c r="F5" i="4"/>
  <c r="G5" i="4"/>
  <c r="A2" i="4"/>
  <c r="B2" i="4"/>
  <c r="C2" i="4"/>
  <c r="D2" i="4"/>
  <c r="E2" i="4"/>
  <c r="F2" i="4"/>
  <c r="A3" i="4"/>
  <c r="B3" i="4"/>
  <c r="C3" i="4"/>
  <c r="D3" i="4"/>
  <c r="E3" i="4"/>
  <c r="F3" i="4"/>
  <c r="G3" i="4"/>
  <c r="H2" i="4" l="1"/>
  <c r="H5" i="4"/>
  <c r="H4" i="4"/>
  <c r="H3" i="4"/>
  <c r="I4" i="4" l="1"/>
  <c r="I5" i="4"/>
  <c r="I2" i="4"/>
  <c r="I3" i="4"/>
  <c r="J4" i="4" l="1"/>
  <c r="J5" i="4"/>
  <c r="J2" i="4"/>
  <c r="J3" i="4"/>
  <c r="K4" i="4" l="1"/>
  <c r="K5" i="4"/>
  <c r="K2" i="4"/>
  <c r="K3" i="4"/>
  <c r="L4" i="4" l="1"/>
  <c r="L5" i="4"/>
  <c r="L2" i="4"/>
  <c r="L3" i="4"/>
  <c r="M4" i="4" l="1"/>
  <c r="M5" i="4"/>
  <c r="M2" i="4"/>
  <c r="M3" i="4"/>
  <c r="N4" i="4" l="1"/>
  <c r="N5" i="4"/>
  <c r="N2" i="4"/>
  <c r="N3" i="4"/>
  <c r="O4" i="4" l="1"/>
  <c r="O5" i="4"/>
  <c r="O2" i="4"/>
  <c r="O3" i="4"/>
  <c r="P4" i="4" l="1"/>
  <c r="P5" i="4"/>
  <c r="P2" i="4"/>
  <c r="P3" i="4"/>
</calcChain>
</file>

<file path=xl/sharedStrings.xml><?xml version="1.0" encoding="utf-8"?>
<sst xmlns="http://schemas.openxmlformats.org/spreadsheetml/2006/main" count="44" uniqueCount="29">
  <si>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</si>
  <si>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</si>
  <si>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</si>
  <si>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</si>
  <si>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</si>
  <si>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</si>
  <si>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</si>
  <si>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</si>
  <si>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</si>
  <si>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</si>
  <si>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</si>
  <si>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</si>
  <si>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</si>
  <si>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</si>
  <si>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</si>
  <si>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</si>
  <si>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</si>
  <si>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</si>
  <si>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</si>
  <si>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</si>
  <si>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</si>
  <si>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</si>
  <si>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</si>
  <si>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</si>
  <si>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</si>
  <si>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SPLANGU¥O CLAUDIA DEL R. 1815717938192037563812084206009800000000764789000000088741960000000963898500000001597355D000000000000000000000804163001108727181571794M00000000000000</t>
  </si>
  <si>
    <t>LIZARDO SARA FELISA      1741402438176018853827565506009800000000764789000000088741890000000963897800000001597354D000000000000000000000804162406089327174140249M00000000000000</t>
  </si>
  <si>
    <t>SOSA LEDESMA ROGER ALEJAN2502797138176015023882912406009800000001130437000000078167880000000894722500000001407021D000000000000000000000754020415060320250279710V00000000000000</t>
  </si>
  <si>
    <t>MALAGA ZUSANA ELIZABETH  2601776838586074873899086506009800000000566315000000059677280000000653404300000001074191D000000000000000000000545985222092227260177686M00000000000000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</si>
</sst>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0" borderId="0" xfId="0" applyFill="1"/>
  </cellXfs>
  <cellStyles count="1">
    <cellStyle name="Normal" xfId="0" builtinId="0"/>
  </cellStyles>
  <dxfs count="2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6"/>
  <sheetViews>
    <sheetView tabSelected="1" workbookViewId="0">
      <pane ySplit="1" topLeftCell="A2" activePane="bottomLeft" state="frozen"/>
      <selection pane="bottomLeft" activeCell="I6" sqref="I6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5.28515625" bestFit="1" customWidth="1"/>
    <col min="10" max="10" width="18.140625" bestFit="1" customWidth="1"/>
    <col min="11" max="11" width="7.42578125" bestFit="1" customWidth="1"/>
    <col min="12" max="12" width="10" bestFit="1" customWidth="1"/>
    <col min="13" max="13" width="15.28515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SPLANGU¥O CLAUDIA DEL R. </v>
      </c>
      <c r="B2" s="5" t="str">
        <f>MID(Q2,Hoja2!$D$3,Hoja2!$B$3)</f>
        <v>18157179</v>
      </c>
      <c r="C2" s="5" t="str">
        <f>MID(Q2,Hoja2!$D$4,Hoja2!$B$4)</f>
        <v>38192</v>
      </c>
      <c r="D2" s="5" t="str">
        <f>MID(Q2,Hoja2!$D$5,Hoja2!$B$5)</f>
        <v>03756</v>
      </c>
      <c r="E2" s="5" t="str">
        <f>MID(Q2,Hoja2!$D$6,Hoja2!$B$6)</f>
        <v>38120842</v>
      </c>
      <c r="F2" s="5" t="str">
        <f>MID(Q2,Hoja2!$D$7,Hoja2!$B$7)</f>
        <v>060098</v>
      </c>
      <c r="G2" s="5">
        <f>MID(Q2,Hoja2!$D$8,Hoja2!$B$8)/100</f>
        <v>7647.89</v>
      </c>
      <c r="H2" s="5">
        <f>MID(Q2,Hoja2!$D$9,Hoja2!$B$9)/100</f>
        <v>88741.96</v>
      </c>
      <c r="I2" s="5">
        <f>MID(Q2,Hoja2!$D$10,Hoja2!$B$10)/100</f>
        <v>96389.85</v>
      </c>
      <c r="J2" s="5">
        <f>MID(Q2,Hoja2!$D$11,Hoja2!$B$11)/100</f>
        <v>15973.55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80416.3</v>
      </c>
      <c r="N2" s="5" t="str">
        <f>MID(Q2,Hoja2!$D$15,Hoja2!$B$15)</f>
        <v>011087</v>
      </c>
      <c r="O2" s="5" t="str">
        <f>MID(Q2,Hoja2!$D$16,Hoja2!$B$16)</f>
        <v>27181571794</v>
      </c>
      <c r="P2" s="5" t="str">
        <f>MID(Q2,Hoja2!$D$17,Hoja2!$B$17)</f>
        <v>M</v>
      </c>
      <c r="Q2" s="10" t="s">
        <v>25</v>
      </c>
    </row>
    <row r="3" spans="1:17" x14ac:dyDescent="0.25">
      <c r="A3" s="5" t="str">
        <f>MID(Q3,Hoja2!$D$2,Hoja2!$F$2)</f>
        <v xml:space="preserve">LIZARDO SARA FELISA      </v>
      </c>
      <c r="B3" s="5" t="str">
        <f>MID(Q3,Hoja2!$D$3,Hoja2!$B$3)</f>
        <v>17414024</v>
      </c>
      <c r="C3" s="5" t="str">
        <f>MID(Q3,Hoja2!$D$4,Hoja2!$B$4)</f>
        <v>38176</v>
      </c>
      <c r="D3" s="5" t="str">
        <f>MID(Q3,Hoja2!$D$5,Hoja2!$B$5)</f>
        <v>01885</v>
      </c>
      <c r="E3" s="5" t="str">
        <f>MID(Q3,Hoja2!$D$6,Hoja2!$B$6)</f>
        <v>38275655</v>
      </c>
      <c r="F3" s="5" t="str">
        <f>MID(Q3,Hoja2!$D$7,Hoja2!$B$7)</f>
        <v>060098</v>
      </c>
      <c r="G3" s="5">
        <f>MID(Q3,Hoja2!$D$8,Hoja2!$B$8)/100</f>
        <v>7647.89</v>
      </c>
      <c r="H3" s="5">
        <f>MID(Q3,Hoja2!$D$9,Hoja2!$B$9)/100</f>
        <v>88741.89</v>
      </c>
      <c r="I3" s="5">
        <f>MID(Q3,Hoja2!$D$10,Hoja2!$B$10)/100</f>
        <v>96389.78</v>
      </c>
      <c r="J3" s="5">
        <f>MID(Q3,Hoja2!$D$11,Hoja2!$B$11)/100</f>
        <v>15973.54</v>
      </c>
      <c r="K3" s="5" t="str">
        <f>MID(Q3,Hoja2!$D$12,Hoja2!$B$12)</f>
        <v>D</v>
      </c>
      <c r="L3" s="5" t="str">
        <f>MID(Q3,Hoja2!$D$13,Hoja2!$B$13)</f>
        <v>00000000000000</v>
      </c>
      <c r="M3" s="6">
        <f>MID(Q3,Hoja2!$D$14,Hoja2!$B$14)/100</f>
        <v>80416.240000000005</v>
      </c>
      <c r="N3" s="5" t="str">
        <f>MID(Q3,Hoja2!$D$15,Hoja2!$B$15)</f>
        <v>060893</v>
      </c>
      <c r="O3" s="5" t="str">
        <f>MID(Q3,Hoja2!$D$16,Hoja2!$B$16)</f>
        <v>27174140249</v>
      </c>
      <c r="P3" s="5" t="str">
        <f>MID(Q3,Hoja2!$D$17,Hoja2!$B$17)</f>
        <v>M</v>
      </c>
      <c r="Q3" t="s">
        <v>26</v>
      </c>
    </row>
    <row r="4" spans="1:17" x14ac:dyDescent="0.25">
      <c r="A4" s="5" t="str">
        <f>MID(Q4,Hoja2!$D$2,Hoja2!$F$2)</f>
        <v>SOSA LEDESMA ROGER ALEJAN</v>
      </c>
      <c r="B4" s="5" t="str">
        <f>MID(Q4,Hoja2!$D$3,Hoja2!$B$3)</f>
        <v>25027971</v>
      </c>
      <c r="C4" s="5" t="str">
        <f>MID(Q4,Hoja2!$D$4,Hoja2!$B$4)</f>
        <v>38176</v>
      </c>
      <c r="D4" s="5" t="str">
        <f>MID(Q4,Hoja2!$D$5,Hoja2!$B$5)</f>
        <v>01502</v>
      </c>
      <c r="E4" s="5" t="str">
        <f>MID(Q4,Hoja2!$D$6,Hoja2!$B$6)</f>
        <v>38829124</v>
      </c>
      <c r="F4" s="5" t="str">
        <f>MID(Q4,Hoja2!$D$7,Hoja2!$B$7)</f>
        <v>060098</v>
      </c>
      <c r="G4" s="5">
        <f>MID(Q4,Hoja2!$D$8,Hoja2!$B$8)/100</f>
        <v>11304.37</v>
      </c>
      <c r="H4" s="5">
        <f>MID(Q4,Hoja2!$D$9,Hoja2!$B$9)/100</f>
        <v>78167.88</v>
      </c>
      <c r="I4" s="5">
        <f>MID(Q4,Hoja2!$D$10,Hoja2!$B$10)/100</f>
        <v>89472.25</v>
      </c>
      <c r="J4" s="5">
        <f>MID(Q4,Hoja2!$D$11,Hoja2!$B$11)/100</f>
        <v>14070.21</v>
      </c>
      <c r="K4" s="5" t="str">
        <f>MID(Q4,Hoja2!$D$12,Hoja2!$B$12)</f>
        <v>D</v>
      </c>
      <c r="L4" s="5" t="str">
        <f>MID(Q4,Hoja2!$D$13,Hoja2!$B$13)</f>
        <v>00000000000000</v>
      </c>
      <c r="M4" s="6">
        <f>MID(Q4,Hoja2!$D$14,Hoja2!$B$14)/100</f>
        <v>75402.039999999994</v>
      </c>
      <c r="N4" s="5" t="str">
        <f>MID(Q4,Hoja2!$D$15,Hoja2!$B$15)</f>
        <v>150603</v>
      </c>
      <c r="O4" s="5" t="str">
        <f>MID(Q4,Hoja2!$D$16,Hoja2!$B$16)</f>
        <v>20250279710</v>
      </c>
      <c r="P4" s="5" t="str">
        <f>MID(Q4,Hoja2!$D$17,Hoja2!$B$17)</f>
        <v>V</v>
      </c>
      <c r="Q4" t="s">
        <v>27</v>
      </c>
    </row>
    <row r="5" spans="1:17" x14ac:dyDescent="0.25">
      <c r="A5" s="5" t="str">
        <f>MID(Q5,Hoja2!$D$2,Hoja2!$F$2)</f>
        <v xml:space="preserve">MALAGA ZUSANA ELIZABETH  </v>
      </c>
      <c r="B5" s="5" t="str">
        <f>MID(Q5,Hoja2!$D$3,Hoja2!$B$3)</f>
        <v>26017768</v>
      </c>
      <c r="C5" s="5" t="str">
        <f>MID(Q5,Hoja2!$D$4,Hoja2!$B$4)</f>
        <v>38586</v>
      </c>
      <c r="D5" s="5" t="str">
        <f>MID(Q5,Hoja2!$D$5,Hoja2!$B$5)</f>
        <v>07487</v>
      </c>
      <c r="E5" s="5" t="str">
        <f>MID(Q5,Hoja2!$D$6,Hoja2!$B$6)</f>
        <v>38990865</v>
      </c>
      <c r="F5" s="5" t="str">
        <f>MID(Q5,Hoja2!$D$7,Hoja2!$B$7)</f>
        <v>060098</v>
      </c>
      <c r="G5" s="5">
        <f>MID(Q5,Hoja2!$D$8,Hoja2!$B$8)/100</f>
        <v>5663.15</v>
      </c>
      <c r="H5" s="5">
        <f>MID(Q5,Hoja2!$D$9,Hoja2!$B$9)/100</f>
        <v>59677.279999999999</v>
      </c>
      <c r="I5" s="5">
        <f>MID(Q5,Hoja2!$D$10,Hoja2!$B$10)/100</f>
        <v>65340.43</v>
      </c>
      <c r="J5" s="5">
        <f>MID(Q5,Hoja2!$D$11,Hoja2!$B$11)/100</f>
        <v>10741.91</v>
      </c>
      <c r="K5" s="5" t="str">
        <f>MID(Q5,Hoja2!$D$12,Hoja2!$B$12)</f>
        <v>D</v>
      </c>
      <c r="L5" s="5" t="str">
        <f>MID(Q5,Hoja2!$D$13,Hoja2!$B$13)</f>
        <v>00000000000000</v>
      </c>
      <c r="M5" s="6">
        <f>MID(Q5,Hoja2!$D$14,Hoja2!$B$14)/100</f>
        <v>54598.52</v>
      </c>
      <c r="N5" s="5" t="str">
        <f>MID(Q5,Hoja2!$D$15,Hoja2!$B$15)</f>
        <v>220922</v>
      </c>
      <c r="O5" s="5" t="str">
        <f>MID(Q5,Hoja2!$D$16,Hoja2!$B$16)</f>
        <v>27260177686</v>
      </c>
      <c r="P5" s="5" t="str">
        <f>MID(Q5,Hoja2!$D$17,Hoja2!$B$17)</f>
        <v>M</v>
      </c>
      <c r="Q5" t="s">
        <v>28</v>
      </c>
    </row>
    <row r="6" spans="1:17" ht="15.75" x14ac:dyDescent="0.25">
      <c r="G6" s="7">
        <f>SUM(G2:G5)</f>
        <v>32263.300000000003</v>
      </c>
      <c r="H6" s="7">
        <f>SUM(H2:H5)</f>
        <v>315329.01</v>
      </c>
      <c r="I6" s="7">
        <f>SUM(I2:I5)</f>
        <v>347592.31</v>
      </c>
      <c r="J6" s="7">
        <f>SUM(J2:J5)</f>
        <v>56759.210000000006</v>
      </c>
      <c r="K6" s="8"/>
      <c r="L6" s="8"/>
      <c r="M6" s="7">
        <f>SUM(M2:M5)</f>
        <v>290833.10000000003</v>
      </c>
    </row>
  </sheetData>
  <autoFilter ref="B1:B2"/>
  <conditionalFormatting sqref="E346:E1048576 E1:E2 E6:E344">
    <cfRule type="duplicateValues" dxfId="1" priority="5"/>
  </conditionalFormatting>
  <conditionalFormatting sqref="E3:E5">
    <cfRule type="duplicateValues" dxfId="0" priority="26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activeCell="B15" sqref="B15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2025-02-26T22:18:12Z</dcterms:modified>
</cp:coreProperties>
</file>