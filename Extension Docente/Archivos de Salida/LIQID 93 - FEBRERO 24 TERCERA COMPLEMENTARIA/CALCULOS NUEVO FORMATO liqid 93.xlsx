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3 - FEBRERO 24 TERCER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<sst xmlns="http://schemas.openxmlformats.org/spreadsheetml/2006/main" count="46" uniqueCount="26">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</sst>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8" fontId="0" fillId="0" borderId="0" xfId="0" applyNumberFormat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topLeftCell="B1" zoomScale="130" zoomScaleNormal="130" workbookViewId="0">
      <selection activeCell="I15" sqref="I15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290833.09999999998</v>
      </c>
      <c r="C2" s="9">
        <v>40992.769999999997</v>
      </c>
      <c r="D2" s="9">
        <v>32068.959999999999</v>
      </c>
      <c r="E2" s="9">
        <v>73061.73</v>
      </c>
      <c r="F2" s="9">
        <v>15766.44</v>
      </c>
      <c r="G2" s="9">
        <v>18919.740000000002</v>
      </c>
      <c r="H2" s="9">
        <v>34686.18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236234.58</v>
      </c>
      <c r="C3" s="9">
        <v>33234.720000000001</v>
      </c>
      <c r="D3" s="9">
        <v>25999.78</v>
      </c>
      <c r="E3" s="9">
        <v>59234.5</v>
      </c>
      <c r="F3" s="9">
        <v>12782.58</v>
      </c>
      <c r="G3" s="9">
        <v>15339.1</v>
      </c>
      <c r="H3" s="9">
        <v>28121.68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54598.52</v>
      </c>
      <c r="C4" s="9">
        <v>7758.05</v>
      </c>
      <c r="D4" s="9">
        <v>6069.18</v>
      </c>
      <c r="E4" s="9">
        <v>13827.23</v>
      </c>
      <c r="F4" s="9">
        <v>2983.86</v>
      </c>
      <c r="G4" s="9">
        <v>3580.64</v>
      </c>
      <c r="H4" s="9">
        <v>6564.5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290833.09999999998</v>
      </c>
      <c r="H10" s="9" t="s">
        <v>1</v>
      </c>
      <c r="I10" s="15">
        <f>B3</f>
        <v>236234.58</v>
      </c>
      <c r="K10" s="9" t="s">
        <v>1</v>
      </c>
      <c r="L10" s="15">
        <f>B4</f>
        <v>54598.52</v>
      </c>
    </row>
    <row r="11" spans="1:12" ht="15.75" x14ac:dyDescent="0.25">
      <c r="B11" s="1">
        <f>F10+F13+F16+F19</f>
        <v>347592.31</v>
      </c>
      <c r="C11" s="4">
        <v>347592.31</v>
      </c>
      <c r="E11" s="9" t="s">
        <v>0</v>
      </c>
      <c r="F11" s="18">
        <f>E2</f>
        <v>73061.73</v>
      </c>
      <c r="H11" s="9" t="s">
        <v>0</v>
      </c>
      <c r="I11" s="14">
        <f>E3</f>
        <v>59234.5</v>
      </c>
      <c r="K11" s="9" t="s">
        <v>0</v>
      </c>
      <c r="L11" s="14">
        <f>E4</f>
        <v>13827.23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32068.959999999999</v>
      </c>
      <c r="H12" s="9" t="s">
        <v>2</v>
      </c>
      <c r="I12" s="14">
        <f>H3</f>
        <v>28121.68</v>
      </c>
      <c r="K12" s="9" t="s">
        <v>2</v>
      </c>
      <c r="L12" s="14">
        <f>H4</f>
        <v>6564.5</v>
      </c>
    </row>
    <row r="13" spans="1:12" x14ac:dyDescent="0.25">
      <c r="E13" s="9" t="s">
        <v>7</v>
      </c>
      <c r="F13" s="18">
        <f>C2</f>
        <v>40992.769999999997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34686.18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18919.740000000002</v>
      </c>
      <c r="I15" s="21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15766.44</v>
      </c>
      <c r="I16" s="2"/>
      <c r="J16" s="6">
        <f>I10+I11+I12+I13+L10+L11+L12+L13</f>
        <v>398581.00999999995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398581.00999999995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236234.58</v>
      </c>
      <c r="I23" s="1"/>
    </row>
    <row r="24" spans="2:12" ht="15.75" x14ac:dyDescent="0.25">
      <c r="B24" s="1">
        <f>F10</f>
        <v>290833.09999999998</v>
      </c>
      <c r="C24" s="4">
        <v>290833.09999999998</v>
      </c>
      <c r="F24" s="1">
        <f>L10</f>
        <v>54598.52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59234.5</v>
      </c>
      <c r="I25" s="1"/>
    </row>
    <row r="26" spans="2:12" x14ac:dyDescent="0.25">
      <c r="F26" s="1">
        <f>L11</f>
        <v>13827.23</v>
      </c>
      <c r="I26" s="1"/>
    </row>
    <row r="27" spans="2:12" x14ac:dyDescent="0.25">
      <c r="F27" s="1">
        <f>I12+I13</f>
        <v>28121.68</v>
      </c>
      <c r="H27" t="s">
        <v>9</v>
      </c>
      <c r="I27" s="1"/>
    </row>
    <row r="28" spans="2:12" x14ac:dyDescent="0.25">
      <c r="F28" s="1">
        <f>L12+L13</f>
        <v>6564.5</v>
      </c>
      <c r="H28" s="1">
        <f>SUM(F23:F26)</f>
        <v>363894.82999999996</v>
      </c>
      <c r="I28" s="1"/>
    </row>
    <row r="29" spans="2:12" ht="15.75" x14ac:dyDescent="0.25">
      <c r="F29" s="5">
        <f>SUM(F23:F28)</f>
        <v>398581.00999999995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2025-02-26T22:19:47Z</dcterms:modified>
</cp:coreProperties>
</file>