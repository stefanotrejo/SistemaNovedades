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6 -MAY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<sst xmlns="http://schemas.openxmlformats.org/spreadsheetml/2006/main" count="46" uniqueCount="26">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</sst>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E18" sqref="E18:F18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1369374523.51</v>
      </c>
      <c r="C2" s="9">
        <v>189582061.53</v>
      </c>
      <c r="D2" s="9">
        <v>147921354.88999999</v>
      </c>
      <c r="E2" s="9">
        <v>337503416.42000002</v>
      </c>
      <c r="F2" s="9">
        <v>77401952.040000007</v>
      </c>
      <c r="G2" s="9">
        <v>87269236.439999998</v>
      </c>
      <c r="H2" s="9">
        <v>164671188.47999999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1102924243.9200001</v>
      </c>
      <c r="C3" s="9">
        <v>153141284.30000001</v>
      </c>
      <c r="D3" s="9">
        <v>119465311.54000001</v>
      </c>
      <c r="E3" s="9">
        <v>272606595.83999997</v>
      </c>
      <c r="F3" s="9">
        <v>62890865.969999999</v>
      </c>
      <c r="G3" s="9">
        <v>70481010.549999997</v>
      </c>
      <c r="H3" s="9">
        <v>133371876.52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266450279.59</v>
      </c>
      <c r="C4" s="9">
        <v>36440777.229999997</v>
      </c>
      <c r="D4" s="9">
        <v>28456043.350000001</v>
      </c>
      <c r="E4" s="9">
        <v>64896820.579999998</v>
      </c>
      <c r="F4" s="9">
        <v>14511086.07</v>
      </c>
      <c r="G4" s="9">
        <v>16788225.890000001</v>
      </c>
      <c r="H4" s="9">
        <v>31299311.960000001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1369374523.51</v>
      </c>
      <c r="H10" s="9" t="s">
        <v>1</v>
      </c>
      <c r="I10" s="15">
        <f>B3</f>
        <v>1102924243.9200001</v>
      </c>
      <c r="K10" s="9" t="s">
        <v>1</v>
      </c>
      <c r="L10" s="15">
        <f>B4</f>
        <v>266450279.59</v>
      </c>
    </row>
    <row r="11" spans="1:12" ht="15.75" x14ac:dyDescent="0.25">
      <c r="B11" s="1">
        <f>F10+F13+F16+F19</f>
        <v>1636375666.99</v>
      </c>
      <c r="C11" s="4">
        <v>1636375666.99</v>
      </c>
      <c r="E11" s="9" t="s">
        <v>0</v>
      </c>
      <c r="F11" s="18">
        <f>E2</f>
        <v>337503416.42000002</v>
      </c>
      <c r="H11" s="9" t="s">
        <v>0</v>
      </c>
      <c r="I11" s="14">
        <f>E3</f>
        <v>272606595.83999997</v>
      </c>
      <c r="K11" s="9" t="s">
        <v>0</v>
      </c>
      <c r="L11" s="14">
        <f>E4</f>
        <v>64896820.579999998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147921354.88999999</v>
      </c>
      <c r="H12" s="9" t="s">
        <v>2</v>
      </c>
      <c r="I12" s="14">
        <f>H3</f>
        <v>133371876.52</v>
      </c>
      <c r="K12" s="9" t="s">
        <v>2</v>
      </c>
      <c r="L12" s="14">
        <f>H4</f>
        <v>31299311.960000001</v>
      </c>
    </row>
    <row r="13" spans="1:12" x14ac:dyDescent="0.25">
      <c r="E13" s="9" t="s">
        <v>7</v>
      </c>
      <c r="F13" s="18">
        <f>C2</f>
        <v>189582061.53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164671188.47999999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87269236.439999998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77401952.040000007</v>
      </c>
      <c r="I16" s="2"/>
      <c r="J16" s="6">
        <f>I10+I11+I12+I13+L10+L11+L12+L13</f>
        <v>1871577678.2599998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1871577678.26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1102924243.9200001</v>
      </c>
      <c r="I23" s="1"/>
    </row>
    <row r="24" spans="2:12" ht="15.75" x14ac:dyDescent="0.25">
      <c r="B24" s="1">
        <f>F10</f>
        <v>1369374523.51</v>
      </c>
      <c r="C24" s="4">
        <v>1369374523.51</v>
      </c>
      <c r="F24" s="1">
        <f>L10</f>
        <v>266450279.59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272606595.83999997</v>
      </c>
      <c r="I25" s="1"/>
    </row>
    <row r="26" spans="2:12" x14ac:dyDescent="0.25">
      <c r="F26" s="1">
        <f>L11</f>
        <v>64896820.579999998</v>
      </c>
      <c r="I26" s="1"/>
    </row>
    <row r="27" spans="2:12" x14ac:dyDescent="0.25">
      <c r="F27" s="1">
        <f>I12+I13</f>
        <v>133400426.36999999</v>
      </c>
      <c r="H27" t="s">
        <v>9</v>
      </c>
      <c r="I27" s="1"/>
    </row>
    <row r="28" spans="2:12" x14ac:dyDescent="0.25">
      <c r="F28" s="1">
        <f>L12+L13</f>
        <v>31299311.960000001</v>
      </c>
      <c r="H28" s="1">
        <f>SUM(F23:F26)</f>
        <v>1706877939.9299998</v>
      </c>
      <c r="I28" s="1"/>
    </row>
    <row r="29" spans="2:12" ht="15.75" x14ac:dyDescent="0.25">
      <c r="F29" s="5">
        <f>SUM(F23:F28)</f>
        <v>1871577678.2599998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2025-06-04T20:44:21Z</dcterms:modified>
</cp:coreProperties>
</file>