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8 - JUNI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<sst xmlns="http://schemas.openxmlformats.org/spreadsheetml/2006/main" count="46" uniqueCount="26">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</sst>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E14" sqref="E1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1354265032.9300001</v>
      </c>
      <c r="C2" s="9">
        <v>187187374.44999999</v>
      </c>
      <c r="D2" s="9">
        <v>146080108.66999999</v>
      </c>
      <c r="E2" s="9">
        <v>333267483.12</v>
      </c>
      <c r="F2" s="9">
        <v>76425646.989999995</v>
      </c>
      <c r="G2" s="9">
        <v>86182955.469999999</v>
      </c>
      <c r="H2" s="9">
        <v>162608602.46000001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1090615887.8499999</v>
      </c>
      <c r="C3" s="9">
        <v>151161035.05000001</v>
      </c>
      <c r="D3" s="9">
        <v>117948283.25</v>
      </c>
      <c r="E3" s="9">
        <v>269109318.30000001</v>
      </c>
      <c r="F3" s="9">
        <v>62075726.840000004</v>
      </c>
      <c r="G3" s="9">
        <v>69586008.629999995</v>
      </c>
      <c r="H3" s="9">
        <v>131661735.47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263649145.08000001</v>
      </c>
      <c r="C4" s="9">
        <v>36026339.399999999</v>
      </c>
      <c r="D4" s="9">
        <v>28131825.420000002</v>
      </c>
      <c r="E4" s="9">
        <v>64158164.82</v>
      </c>
      <c r="F4" s="9">
        <v>14349920.15</v>
      </c>
      <c r="G4" s="9">
        <v>16596946.84</v>
      </c>
      <c r="H4" s="9">
        <v>30946866.989999998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1354265032.9300001</v>
      </c>
      <c r="H10" s="9" t="s">
        <v>1</v>
      </c>
      <c r="I10" s="15">
        <f>B3</f>
        <v>1090615887.8499999</v>
      </c>
      <c r="K10" s="9" t="s">
        <v>1</v>
      </c>
      <c r="L10" s="15">
        <f>B4</f>
        <v>263649145.08000001</v>
      </c>
    </row>
    <row r="11" spans="1:12" ht="15.75" x14ac:dyDescent="0.25">
      <c r="B11" s="1">
        <f>F10+F13+F16+F19</f>
        <v>1617895184.2800002</v>
      </c>
      <c r="C11" s="4">
        <v>1617895184.28</v>
      </c>
      <c r="E11" s="9" t="s">
        <v>0</v>
      </c>
      <c r="F11" s="18">
        <f>E2</f>
        <v>333267483.12</v>
      </c>
      <c r="H11" s="9" t="s">
        <v>0</v>
      </c>
      <c r="I11" s="14">
        <f>E3</f>
        <v>269109318.30000001</v>
      </c>
      <c r="K11" s="9" t="s">
        <v>0</v>
      </c>
      <c r="L11" s="14">
        <f>E4</f>
        <v>64158164.82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146080108.66999999</v>
      </c>
      <c r="H12" s="9" t="s">
        <v>2</v>
      </c>
      <c r="I12" s="14">
        <f>H3</f>
        <v>131661735.47</v>
      </c>
      <c r="K12" s="9" t="s">
        <v>2</v>
      </c>
      <c r="L12" s="14">
        <f>H4</f>
        <v>30946866.989999998</v>
      </c>
    </row>
    <row r="13" spans="1:12" x14ac:dyDescent="0.25">
      <c r="E13" s="9" t="s">
        <v>7</v>
      </c>
      <c r="F13" s="18">
        <f>C2</f>
        <v>187187374.44999999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162608602.46000001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86182955.469999999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76425646.989999995</v>
      </c>
      <c r="I16" s="2"/>
      <c r="J16" s="6">
        <f>I10+I11+I12+I13+L10+L11+L12+L13</f>
        <v>1850169668.3599997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1850169668.3600001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1090615887.8499999</v>
      </c>
      <c r="I23" s="1"/>
    </row>
    <row r="24" spans="2:12" ht="15.75" x14ac:dyDescent="0.25">
      <c r="B24" s="1">
        <f>F10</f>
        <v>1354265032.9300001</v>
      </c>
      <c r="C24" s="4">
        <v>1354265032.9300001</v>
      </c>
      <c r="F24" s="1">
        <f>L10</f>
        <v>263649145.08000001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269109318.30000001</v>
      </c>
      <c r="I25" s="1"/>
    </row>
    <row r="26" spans="2:12" x14ac:dyDescent="0.25">
      <c r="F26" s="1">
        <f>L11</f>
        <v>64158164.82</v>
      </c>
      <c r="I26" s="1"/>
    </row>
    <row r="27" spans="2:12" x14ac:dyDescent="0.25">
      <c r="F27" s="1">
        <f>I12+I13</f>
        <v>131690285.31999999</v>
      </c>
      <c r="H27" t="s">
        <v>9</v>
      </c>
      <c r="I27" s="1"/>
    </row>
    <row r="28" spans="2:12" x14ac:dyDescent="0.25">
      <c r="F28" s="1">
        <f>L12+L13</f>
        <v>30946866.989999998</v>
      </c>
      <c r="H28" s="1">
        <f>SUM(F23:F26)</f>
        <v>1687532516.0499997</v>
      </c>
      <c r="I28" s="1"/>
    </row>
    <row r="29" spans="2:12" ht="15.75" x14ac:dyDescent="0.25">
      <c r="F29" s="5">
        <f>SUM(F23:F28)</f>
        <v>1850169668.3599997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2025-06-18T20:39:46Z</dcterms:modified>
</cp:coreProperties>
</file>