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0 - SEPTIEMBRE 24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2" i="4" l="1"/>
  <c r="B2" i="4"/>
  <c r="C2" i="4"/>
  <c r="D2" i="4"/>
  <c r="E2" i="4"/>
  <c r="F2" i="4"/>
  <c r="G3" i="4" l="1"/>
  <c r="H2" i="4"/>
  <c r="H3" i="4" l="1"/>
  <c r="I2" i="4"/>
  <c r="I3" i="4" l="1"/>
  <c r="J2" i="4"/>
  <c r="J3" i="4" l="1"/>
  <c r="K2" i="4"/>
  <c r="L2" i="4" l="1"/>
  <c r="M2" i="4" l="1"/>
  <c r="M3" i="4" l="1"/>
  <c r="N2" i="4"/>
  <c r="O2" i="4" l="1"/>
  <c r="P2" i="4" l="1"/>
</calcChain>
</file>

<file path=xl/sharedStrings.xml><?xml version="1.0" encoding="utf-8"?>
<sst xmlns="http://schemas.openxmlformats.org/spreadsheetml/2006/main" count="41" uniqueCount="26">
  <si>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</si>
  <si>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</si>
  <si>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</si>
  <si>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</si>
  <si>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</si>
  <si>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</si>
  <si>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</si>
  <si>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</si>
  <si>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</si>
  <si>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</si>
  <si>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</si>
  <si>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</si>
  <si>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</si>
  <si>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</si>
  <si>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</si>
  <si>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</si>
  <si>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</si>
  <si>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</si>
  <si>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</si>
  <si>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</si>
  <si>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</si>
  <si>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</si>
  <si>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</si>
  <si>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</si>
  <si>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</si>
  <si>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ESCOBAR CABALLERO PAOLA  2706046938257116243843972506009800000001165930000000121841930000001335012300000002314997D000000000000000000001103512613030027270604698M00000000000000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</si>
</sst>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ESCOBAR CABALLERO PAOLA  </v>
      </c>
      <c r="B2" s="5" t="str">
        <f>MID(Q2,Hoja2!$D$3,Hoja2!$B$3)</f>
        <v>27060469</v>
      </c>
      <c r="C2" s="5" t="str">
        <f>MID(Q2,Hoja2!$D$4,Hoja2!$B$4)</f>
        <v>38257</v>
      </c>
      <c r="D2" s="5" t="str">
        <f>MID(Q2,Hoja2!$D$5,Hoja2!$B$5)</f>
        <v>11624</v>
      </c>
      <c r="E2" s="5" t="str">
        <f>MID(Q2,Hoja2!$D$6,Hoja2!$B$6)</f>
        <v>38439725</v>
      </c>
      <c r="F2" s="5" t="str">
        <f>MID(Q2,Hoja2!$D$7,Hoja2!$B$7)</f>
        <v>060098</v>
      </c>
      <c r="G2" s="5">
        <f>MID(Q2,Hoja2!$D$8,Hoja2!$B$8)/100</f>
        <v>11659.3</v>
      </c>
      <c r="H2" s="5">
        <f>MID(Q2,Hoja2!$D$9,Hoja2!$B$9)/100</f>
        <v>121841.93</v>
      </c>
      <c r="I2" s="5">
        <f>MID(Q2,Hoja2!$D$10,Hoja2!$B$10)/100</f>
        <v>133501.23000000001</v>
      </c>
      <c r="J2" s="5">
        <f>MID(Q2,Hoja2!$D$11,Hoja2!$B$11)/100</f>
        <v>23149.97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110351.26</v>
      </c>
      <c r="N2" s="5" t="str">
        <f>MID(Q2,Hoja2!$D$15,Hoja2!$B$15)</f>
        <v>130300</v>
      </c>
      <c r="O2" s="5" t="str">
        <f>MID(Q2,Hoja2!$D$16,Hoja2!$B$16)</f>
        <v>27270604698</v>
      </c>
      <c r="P2" s="5" t="str">
        <f>MID(Q2,Hoja2!$D$17,Hoja2!$B$17)</f>
        <v>M</v>
      </c>
      <c r="Q2" s="10" t="s">
        <v>25</v>
      </c>
    </row>
    <row r="3" spans="1:17" ht="15.75" x14ac:dyDescent="0.25">
      <c r="G3" s="7">
        <f>SUM(G2:G2)</f>
        <v>11659.3</v>
      </c>
      <c r="H3" s="7">
        <f>SUM(H2:H2)</f>
        <v>121841.93</v>
      </c>
      <c r="I3" s="7">
        <f>SUM(I2:I2)</f>
        <v>133501.23000000001</v>
      </c>
      <c r="J3" s="7">
        <f>SUM(J2:J2)</f>
        <v>23149.97</v>
      </c>
      <c r="K3" s="8"/>
      <c r="L3" s="8"/>
      <c r="M3" s="7">
        <f>SUM(M2:M2)</f>
        <v>110351.26</v>
      </c>
    </row>
  </sheetData>
  <autoFilter ref="B1:B2"/>
  <conditionalFormatting sqref="E343:E1048576 E1:E341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2025-02-26T23:26:04Z</dcterms:modified>
</cp:coreProperties>
</file>