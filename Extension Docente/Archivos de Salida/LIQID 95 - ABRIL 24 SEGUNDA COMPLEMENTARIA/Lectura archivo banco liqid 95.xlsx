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5 - ABRIL 24 SEGUND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4" i="4" l="1"/>
  <c r="B4" i="4"/>
  <c r="C4" i="4"/>
  <c r="D4" i="4"/>
  <c r="E4" i="4"/>
  <c r="F4" i="4"/>
  <c r="G4" i="4"/>
  <c r="A2" i="4"/>
  <c r="B2" i="4"/>
  <c r="C2" i="4"/>
  <c r="D2" i="4"/>
  <c r="E2" i="4"/>
  <c r="F2" i="4"/>
  <c r="A3" i="4"/>
  <c r="B3" i="4"/>
  <c r="C3" i="4"/>
  <c r="D3" i="4"/>
  <c r="E3" i="4"/>
  <c r="F3" i="4"/>
  <c r="G3" i="4"/>
  <c r="G5" i="4" l="1"/>
  <c r="H2" i="4"/>
  <c r="H5" i="4" s="1"/>
  <c r="H4" i="4"/>
  <c r="H3" i="4"/>
  <c r="I4" i="4" l="1"/>
  <c r="I2" i="4"/>
  <c r="I3" i="4"/>
  <c r="I5" i="4" l="1"/>
  <c r="J4" i="4"/>
  <c r="J2" i="4"/>
  <c r="J3" i="4"/>
  <c r="J5" i="4" l="1"/>
  <c r="K4" i="4"/>
  <c r="K2" i="4"/>
  <c r="K3" i="4"/>
  <c r="L4" i="4" l="1"/>
  <c r="L2" i="4"/>
  <c r="L3" i="4"/>
  <c r="M4" i="4" l="1"/>
  <c r="M2" i="4"/>
  <c r="M5" i="4" s="1"/>
  <c r="M3" i="4"/>
  <c r="N4" i="4" l="1"/>
  <c r="N2" i="4"/>
  <c r="N3" i="4"/>
  <c r="O4" i="4" l="1"/>
  <c r="O2" i="4"/>
  <c r="O3" i="4"/>
  <c r="P4" i="4" l="1"/>
  <c r="P2" i="4"/>
  <c r="P3" i="4"/>
</calcChain>
</file>

<file path=xl/sharedStrings.xml><?xml version="1.0" encoding="utf-8"?>
<sst xmlns="http://schemas.openxmlformats.org/spreadsheetml/2006/main" count="43" uniqueCount="28">
  <si>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</si>
  <si>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</si>
  <si>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</si>
  <si>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</si>
  <si>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</si>
  <si>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</si>
  <si>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</si>
  <si>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</si>
  <si>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</si>
  <si>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</si>
  <si>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</si>
  <si>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</si>
  <si>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</si>
  <si>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</si>
  <si>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</si>
  <si>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</si>
  <si>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</si>
  <si>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</si>
  <si>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</si>
  <si>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</si>
  <si>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</si>
  <si>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</si>
  <si>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</si>
  <si>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</si>
  <si>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</si>
  <si>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MALAGA ZUSANA ELIZABETH  2601776838586074873899086506009800000000566315000000059677280000000653404300000001074191D000000000000000000000545985222092227260177686M00000000000000</t>
  </si>
  <si>
    <t>ESCOBAR CABALLERO PAOLA  2706046938257116243843972506009800000000728703000000083470950000000907579800000001585948D000000000000000000000748985013030027270604698M00000000000000</t>
  </si>
  <si>
    <t>CHAVES MARIA AMELIA      2380075838257114153865936206009800000001130437000000078167880000000894722500000001407021D000000000000000000000754020407030727238007580M00000000000000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</si>
</sst>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pane ySplit="1" topLeftCell="A2" activePane="bottomLeft" state="frozen"/>
      <selection pane="bottomLeft" activeCell="M5" sqref="M5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ESCOBAR CABALLERO PAOLA  </v>
      </c>
      <c r="B2" s="5" t="str">
        <f>MID(Q2,Hoja2!$D$3,Hoja2!$B$3)</f>
        <v>27060469</v>
      </c>
      <c r="C2" s="5" t="str">
        <f>MID(Q2,Hoja2!$D$4,Hoja2!$B$4)</f>
        <v>38257</v>
      </c>
      <c r="D2" s="5" t="str">
        <f>MID(Q2,Hoja2!$D$5,Hoja2!$B$5)</f>
        <v>11624</v>
      </c>
      <c r="E2" s="5" t="str">
        <f>MID(Q2,Hoja2!$D$6,Hoja2!$B$6)</f>
        <v>38439725</v>
      </c>
      <c r="F2" s="5" t="str">
        <f>MID(Q2,Hoja2!$D$7,Hoja2!$B$7)</f>
        <v>060098</v>
      </c>
      <c r="G2" s="5">
        <f>MID(Q2,Hoja2!$D$8,Hoja2!$B$8)/100</f>
        <v>7287.03</v>
      </c>
      <c r="H2" s="5">
        <f>MID(Q2,Hoja2!$D$9,Hoja2!$B$9)/100</f>
        <v>83470.95</v>
      </c>
      <c r="I2" s="5">
        <f>MID(Q2,Hoja2!$D$10,Hoja2!$B$10)/100</f>
        <v>90757.98</v>
      </c>
      <c r="J2" s="5">
        <f>MID(Q2,Hoja2!$D$11,Hoja2!$B$11)/100</f>
        <v>15859.48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74898.5</v>
      </c>
      <c r="N2" s="5" t="str">
        <f>MID(Q2,Hoja2!$D$15,Hoja2!$B$15)</f>
        <v>130300</v>
      </c>
      <c r="O2" s="5" t="str">
        <f>MID(Q2,Hoja2!$D$16,Hoja2!$B$16)</f>
        <v>27270604698</v>
      </c>
      <c r="P2" s="5" t="str">
        <f>MID(Q2,Hoja2!$D$17,Hoja2!$B$17)</f>
        <v>M</v>
      </c>
      <c r="Q2" s="10" t="s">
        <v>26</v>
      </c>
    </row>
    <row r="3" spans="1:17" x14ac:dyDescent="0.25">
      <c r="A3" s="5" t="str">
        <f>MID(Q3,Hoja2!$D$2,Hoja2!$F$2)</f>
        <v xml:space="preserve">CHAVES MARIA AMELIA      </v>
      </c>
      <c r="B3" s="5" t="str">
        <f>MID(Q3,Hoja2!$D$3,Hoja2!$B$3)</f>
        <v>23800758</v>
      </c>
      <c r="C3" s="5" t="str">
        <f>MID(Q3,Hoja2!$D$4,Hoja2!$B$4)</f>
        <v>38257</v>
      </c>
      <c r="D3" s="5" t="str">
        <f>MID(Q3,Hoja2!$D$5,Hoja2!$B$5)</f>
        <v>11415</v>
      </c>
      <c r="E3" s="5" t="str">
        <f>MID(Q3,Hoja2!$D$6,Hoja2!$B$6)</f>
        <v>38659362</v>
      </c>
      <c r="F3" s="5" t="str">
        <f>MID(Q3,Hoja2!$D$7,Hoja2!$B$7)</f>
        <v>060098</v>
      </c>
      <c r="G3" s="5">
        <f>MID(Q3,Hoja2!$D$8,Hoja2!$B$8)/100</f>
        <v>11304.37</v>
      </c>
      <c r="H3" s="5">
        <f>MID(Q3,Hoja2!$D$9,Hoja2!$B$9)/100</f>
        <v>78167.88</v>
      </c>
      <c r="I3" s="5">
        <f>MID(Q3,Hoja2!$D$10,Hoja2!$B$10)/100</f>
        <v>89472.25</v>
      </c>
      <c r="J3" s="5">
        <f>MID(Q3,Hoja2!$D$11,Hoja2!$B$11)/100</f>
        <v>14070.21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75402.039999999994</v>
      </c>
      <c r="N3" s="5" t="str">
        <f>MID(Q3,Hoja2!$D$15,Hoja2!$B$15)</f>
        <v>070307</v>
      </c>
      <c r="O3" s="5" t="str">
        <f>MID(Q3,Hoja2!$D$16,Hoja2!$B$16)</f>
        <v>27238007580</v>
      </c>
      <c r="P3" s="5" t="str">
        <f>MID(Q3,Hoja2!$D$17,Hoja2!$B$17)</f>
        <v>M</v>
      </c>
      <c r="Q3" t="s">
        <v>27</v>
      </c>
    </row>
    <row r="4" spans="1:17" x14ac:dyDescent="0.25">
      <c r="A4" s="5" t="str">
        <f>MID(Q4,Hoja2!$D$2,Hoja2!$F$2)</f>
        <v xml:space="preserve">MALAGA ZUSANA ELIZABETH  </v>
      </c>
      <c r="B4" s="5" t="str">
        <f>MID(Q4,Hoja2!$D$3,Hoja2!$B$3)</f>
        <v>26017768</v>
      </c>
      <c r="C4" s="5" t="str">
        <f>MID(Q4,Hoja2!$D$4,Hoja2!$B$4)</f>
        <v>38586</v>
      </c>
      <c r="D4" s="5" t="str">
        <f>MID(Q4,Hoja2!$D$5,Hoja2!$B$5)</f>
        <v>07487</v>
      </c>
      <c r="E4" s="5" t="str">
        <f>MID(Q4,Hoja2!$D$6,Hoja2!$B$6)</f>
        <v>38990865</v>
      </c>
      <c r="F4" s="5" t="str">
        <f>MID(Q4,Hoja2!$D$7,Hoja2!$B$7)</f>
        <v>060098</v>
      </c>
      <c r="G4" s="5">
        <f>MID(Q4,Hoja2!$D$8,Hoja2!$B$8)/100</f>
        <v>5663.15</v>
      </c>
      <c r="H4" s="5">
        <f>MID(Q4,Hoja2!$D$9,Hoja2!$B$9)/100</f>
        <v>59677.279999999999</v>
      </c>
      <c r="I4" s="5">
        <f>MID(Q4,Hoja2!$D$10,Hoja2!$B$10)/100</f>
        <v>65340.43</v>
      </c>
      <c r="J4" s="5">
        <f>MID(Q4,Hoja2!$D$11,Hoja2!$B$11)/100</f>
        <v>10741.91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54598.52</v>
      </c>
      <c r="N4" s="5" t="str">
        <f>MID(Q4,Hoja2!$D$15,Hoja2!$B$15)</f>
        <v>220922</v>
      </c>
      <c r="O4" s="5" t="str">
        <f>MID(Q4,Hoja2!$D$16,Hoja2!$B$16)</f>
        <v>27260177686</v>
      </c>
      <c r="P4" s="5" t="str">
        <f>MID(Q4,Hoja2!$D$17,Hoja2!$B$17)</f>
        <v>M</v>
      </c>
      <c r="Q4" t="s">
        <v>25</v>
      </c>
    </row>
    <row r="5" spans="1:17" ht="15.75" x14ac:dyDescent="0.25">
      <c r="G5" s="7">
        <f>SUM(G2:G4)</f>
        <v>24254.550000000003</v>
      </c>
      <c r="H5" s="7">
        <f>SUM(H2:H4)</f>
        <v>221316.11000000002</v>
      </c>
      <c r="I5" s="7">
        <f>SUM(I2:I4)</f>
        <v>245570.65999999997</v>
      </c>
      <c r="J5" s="7">
        <f>SUM(J2:J4)</f>
        <v>40671.599999999999</v>
      </c>
      <c r="K5" s="8"/>
      <c r="L5" s="8"/>
      <c r="M5" s="7">
        <f>SUM(M2:M4)</f>
        <v>204899.05999999997</v>
      </c>
    </row>
  </sheetData>
  <autoFilter ref="B1:B2"/>
  <conditionalFormatting sqref="E345:E1048576 E1:E2 E5:E343">
    <cfRule type="duplicateValues" dxfId="1" priority="5"/>
  </conditionalFormatting>
  <conditionalFormatting sqref="E3:E4"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2025-02-26T22:36:18Z</dcterms:modified>
</cp:coreProperties>
</file>